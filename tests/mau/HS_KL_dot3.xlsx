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Chi tiet K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48" customWidth="1" min="3" max="3"/>
  </cols>
  <sheetData>
    <row r="1">
      <c r="A1" t="inlineStr">
        <is>
          <t>BẢNG TỔNG HỢP KHỐI LƯỢNG HOÀN THÀNH ĐỀ NGHỊ THANH TOÁN ĐỢT 3</t>
        </is>
      </c>
    </row>
    <row r="2">
      <c r="A2" t="inlineStr">
        <is>
          <t>Công trình: Nhà làm việc A (số liệu giả định để kiểm thử)</t>
        </is>
      </c>
    </row>
    <row r="4">
      <c r="A4" s="1" t="inlineStr">
        <is>
          <t>STT</t>
        </is>
      </c>
      <c r="B4" s="1" t="inlineStr">
        <is>
          <t>Mã hiệu</t>
        </is>
      </c>
      <c r="C4" s="1" t="inlineStr">
        <is>
          <t>Nội dung công việc</t>
        </is>
      </c>
      <c r="D4" s="1" t="inlineStr">
        <is>
          <t>Đơn vị</t>
        </is>
      </c>
      <c r="E4" s="1" t="inlineStr">
        <is>
          <t>Khối lượng</t>
        </is>
      </c>
      <c r="F4" s="1" t="n"/>
      <c r="G4" s="1" t="n"/>
      <c r="H4" s="1" t="n"/>
      <c r="I4" s="1" t="inlineStr">
        <is>
          <t>Đơn giá</t>
        </is>
      </c>
      <c r="J4" s="1" t="inlineStr">
        <is>
          <t>Thành tiền</t>
        </is>
      </c>
      <c r="K4" s="1" t="n"/>
    </row>
    <row r="5">
      <c r="A5" s="1" t="n"/>
      <c r="B5" s="1" t="n"/>
      <c r="C5" s="1" t="n"/>
      <c r="D5" s="1" t="n"/>
      <c r="E5" s="1" t="inlineStr">
        <is>
          <t>Theo hợp đồng</t>
        </is>
      </c>
      <c r="F5" s="1" t="inlineStr">
        <is>
          <t>Lũy kế đến hết kỳ trước</t>
        </is>
      </c>
      <c r="G5" s="1" t="inlineStr">
        <is>
          <t>Thực hiện kỳ này</t>
        </is>
      </c>
      <c r="H5" s="1" t="inlineStr">
        <is>
          <t>Lũy kế đến hết kỳ này</t>
        </is>
      </c>
      <c r="I5" s="1" t="n"/>
      <c r="J5" s="1" t="inlineStr">
        <is>
          <t>Kỳ này</t>
        </is>
      </c>
      <c r="K5" s="1" t="inlineStr">
        <is>
          <t>Lũy kế</t>
        </is>
      </c>
    </row>
    <row r="6">
      <c r="A6" s="1" t="inlineStr">
        <is>
          <t>(1)</t>
        </is>
      </c>
      <c r="B6" s="1" t="inlineStr">
        <is>
          <t>(2)</t>
        </is>
      </c>
      <c r="C6" s="1" t="inlineStr">
        <is>
          <t>(3)</t>
        </is>
      </c>
      <c r="D6" s="1" t="inlineStr">
        <is>
          <t>(4)</t>
        </is>
      </c>
      <c r="E6" s="1" t="inlineStr">
        <is>
          <t>(5)</t>
        </is>
      </c>
      <c r="F6" s="1" t="inlineStr">
        <is>
          <t>(6)</t>
        </is>
      </c>
      <c r="G6" s="1" t="inlineStr">
        <is>
          <t>(7)</t>
        </is>
      </c>
      <c r="H6" s="1" t="inlineStr">
        <is>
          <t>(8)</t>
        </is>
      </c>
      <c r="I6" s="1" t="inlineStr">
        <is>
          <t>(9)</t>
        </is>
      </c>
      <c r="J6" s="1" t="inlineStr">
        <is>
          <t>(10)</t>
        </is>
      </c>
      <c r="K6" s="1" t="inlineStr">
        <is>
          <t>(11)</t>
        </is>
      </c>
    </row>
    <row r="7">
      <c r="A7" s="1" t="inlineStr">
        <is>
          <t>I</t>
        </is>
      </c>
      <c r="B7" s="1" t="inlineStr"/>
      <c r="C7" s="2" t="inlineStr">
        <is>
          <t>PHẦN MÓNG</t>
        </is>
      </c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inlineStr">
        <is>
          <t>1</t>
        </is>
      </c>
      <c r="B8" s="1" t="inlineStr">
        <is>
          <t>AB.25112</t>
        </is>
      </c>
      <c r="C8" s="1" t="inlineStr">
        <is>
          <t>Đào đất móng bằng máy, đất cấp II</t>
        </is>
      </c>
      <c r="D8" s="1" t="inlineStr">
        <is>
          <t>m3</t>
        </is>
      </c>
      <c r="E8" s="1" t="n">
        <v>1200</v>
      </c>
      <c r="F8" s="1" t="n">
        <v>800</v>
      </c>
      <c r="G8" s="1" t="n">
        <v>450</v>
      </c>
      <c r="H8" s="1">
        <f>F8+G8</f>
        <v/>
      </c>
      <c r="I8" s="1" t="n">
        <v>85000</v>
      </c>
      <c r="J8" s="1">
        <f>G8*I8</f>
        <v/>
      </c>
      <c r="K8" s="1">
        <f>H8*I8</f>
        <v/>
      </c>
    </row>
    <row r="9">
      <c r="A9" s="1" t="inlineStr">
        <is>
          <t>2</t>
        </is>
      </c>
      <c r="B9" s="1" t="inlineStr">
        <is>
          <t>AB.11312</t>
        </is>
      </c>
      <c r="C9" s="1" t="inlineStr">
        <is>
          <t>Đào đất móng thủ công, đất cấp II</t>
        </is>
      </c>
      <c r="D9" s="1" t="inlineStr">
        <is>
          <t>m3</t>
        </is>
      </c>
      <c r="E9" s="1" t="n">
        <v>300</v>
      </c>
      <c r="F9" s="1" t="n">
        <v>150</v>
      </c>
      <c r="G9" s="1" t="n">
        <v>200</v>
      </c>
      <c r="H9" s="1">
        <f>F9+G9</f>
        <v/>
      </c>
      <c r="I9" s="1" t="n">
        <v>320000</v>
      </c>
      <c r="J9" s="1">
        <f>G9*I9</f>
        <v/>
      </c>
      <c r="K9" s="1">
        <f>H9*I9</f>
        <v/>
      </c>
    </row>
    <row r="10">
      <c r="A10" s="1" t="inlineStr">
        <is>
          <t>3</t>
        </is>
      </c>
      <c r="B10" s="1" t="inlineStr">
        <is>
          <t>AB.41432</t>
        </is>
      </c>
      <c r="C10" s="1" t="inlineStr">
        <is>
          <t>Vận chuyển đất thải đổ đi cự ly 10km</t>
        </is>
      </c>
      <c r="D10" s="1" t="inlineStr">
        <is>
          <t>m3</t>
        </is>
      </c>
      <c r="E10" s="1" t="n">
        <v>1500</v>
      </c>
      <c r="F10" s="1" t="n">
        <v>900</v>
      </c>
      <c r="G10" s="1" t="n">
        <v>500</v>
      </c>
      <c r="H10" s="1">
        <f>F10+G10</f>
        <v/>
      </c>
      <c r="I10" s="1" t="n">
        <v>95000</v>
      </c>
      <c r="J10" s="1">
        <f>G10*I10</f>
        <v/>
      </c>
      <c r="K10" s="1">
        <f>H10*I10</f>
        <v/>
      </c>
    </row>
    <row r="11">
      <c r="A11" s="1" t="inlineStr">
        <is>
          <t>4</t>
        </is>
      </c>
      <c r="B11" s="1" t="inlineStr">
        <is>
          <t>AF.11111</t>
        </is>
      </c>
      <c r="C11" s="1" t="inlineStr">
        <is>
          <t>Bê tông lót móng đá 4x6 mác 100</t>
        </is>
      </c>
      <c r="D11" s="1" t="inlineStr">
        <is>
          <t>m3</t>
        </is>
      </c>
      <c r="E11" s="1" t="n">
        <v>45</v>
      </c>
      <c r="F11" s="1" t="n">
        <v>45</v>
      </c>
      <c r="G11" s="1" t="n">
        <v>0</v>
      </c>
      <c r="H11" s="1">
        <f>F11+G11</f>
        <v/>
      </c>
      <c r="I11" s="1" t="n">
        <v>1250000</v>
      </c>
      <c r="J11" s="1">
        <f>G11*I11</f>
        <v/>
      </c>
      <c r="K11" s="1">
        <f>H11*I11</f>
        <v/>
      </c>
    </row>
    <row r="12">
      <c r="A12" s="1" t="inlineStr">
        <is>
          <t>5</t>
        </is>
      </c>
      <c r="B12" s="1" t="inlineStr">
        <is>
          <t>AF.11213</t>
        </is>
      </c>
      <c r="C12" s="1" t="inlineStr">
        <is>
          <t>Bê tông móng, đài móng đá 1x2 mác 300</t>
        </is>
      </c>
      <c r="D12" s="1" t="inlineStr">
        <is>
          <t>m3</t>
        </is>
      </c>
      <c r="E12" s="1" t="n">
        <v>380</v>
      </c>
      <c r="F12" s="1" t="n">
        <v>380</v>
      </c>
      <c r="G12" s="1" t="n">
        <v>0</v>
      </c>
      <c r="H12" s="1">
        <f>F12+G12</f>
        <v/>
      </c>
      <c r="I12" s="1" t="n">
        <v>1650000</v>
      </c>
      <c r="J12" s="1">
        <f>G12*I12</f>
        <v/>
      </c>
      <c r="K12" s="1">
        <f>H12*I12</f>
        <v/>
      </c>
      <c r="L12">
        <f>#REF!+1</f>
        <v/>
      </c>
    </row>
    <row r="13">
      <c r="A13" s="1" t="inlineStr">
        <is>
          <t>6</t>
        </is>
      </c>
      <c r="B13" s="1" t="inlineStr">
        <is>
          <t>AF.61130</t>
        </is>
      </c>
      <c r="C13" s="1" t="inlineStr">
        <is>
          <t>Cốt thép móng, đài móng đường kính &gt;18mm</t>
        </is>
      </c>
      <c r="D13" s="1" t="inlineStr">
        <is>
          <t>tấn</t>
        </is>
      </c>
      <c r="E13" s="1" t="n">
        <v>52</v>
      </c>
      <c r="F13" s="1" t="n">
        <v>52</v>
      </c>
      <c r="G13" s="1" t="n">
        <v>0</v>
      </c>
      <c r="H13" s="1">
        <f>F13+G13</f>
        <v/>
      </c>
      <c r="I13" s="1" t="n">
        <v>21500000</v>
      </c>
      <c r="J13" s="1">
        <f>G13*I13</f>
        <v/>
      </c>
      <c r="K13" s="1">
        <f>H13*I13</f>
        <v/>
      </c>
    </row>
    <row r="14">
      <c r="A14" s="1" t="inlineStr">
        <is>
          <t>7</t>
        </is>
      </c>
      <c r="B14" s="1" t="inlineStr">
        <is>
          <t>AK.95211</t>
        </is>
      </c>
      <c r="C14" s="1" t="inlineStr">
        <is>
          <t>Chống thấm đài móng bằng màng khò nóng</t>
        </is>
      </c>
      <c r="D14" s="1" t="inlineStr">
        <is>
          <t>m2</t>
        </is>
      </c>
      <c r="E14" s="1" t="n">
        <v>0</v>
      </c>
      <c r="F14" s="1" t="n">
        <v>0</v>
      </c>
      <c r="G14" s="1" t="n">
        <v>420</v>
      </c>
      <c r="H14" s="1">
        <f>F14+G14</f>
        <v/>
      </c>
      <c r="I14" s="1" t="n">
        <v>185000</v>
      </c>
      <c r="J14" s="1">
        <f>G14*I14</f>
        <v/>
      </c>
      <c r="K14" s="1">
        <f>H14*I14</f>
        <v/>
      </c>
    </row>
    <row r="15">
      <c r="A15" s="1" t="inlineStr">
        <is>
          <t>8</t>
        </is>
      </c>
      <c r="B15" s="1" t="inlineStr">
        <is>
          <t>AB.13112</t>
        </is>
      </c>
      <c r="C15" s="1" t="inlineStr">
        <is>
          <t>Đắp đất hố móng, độ chặt K95</t>
        </is>
      </c>
      <c r="D15" s="1" t="inlineStr">
        <is>
          <t>m3</t>
        </is>
      </c>
      <c r="E15" s="1" t="n">
        <v>600</v>
      </c>
      <c r="F15" s="1" t="n">
        <v>200</v>
      </c>
      <c r="G15" s="1" t="n">
        <v>350</v>
      </c>
      <c r="H15" s="1">
        <f>F15+G15</f>
        <v/>
      </c>
      <c r="I15" s="1" t="n">
        <v>110000</v>
      </c>
      <c r="J15" s="1">
        <f>G15*I15</f>
        <v/>
      </c>
      <c r="K15" s="1">
        <f>H15*I15</f>
        <v/>
      </c>
    </row>
    <row r="16">
      <c r="A16" s="1" t="n"/>
      <c r="B16" s="1" t="n"/>
      <c r="C16" s="1" t="inlineStr">
        <is>
          <t>Cộng phần móng</t>
        </is>
      </c>
      <c r="D16" s="1" t="n"/>
      <c r="E16" s="1" t="n"/>
      <c r="F16" s="1" t="n"/>
      <c r="G16" s="1" t="n"/>
      <c r="H16" s="1" t="n"/>
      <c r="I16" s="1" t="n"/>
      <c r="J16" s="1">
        <f>SUM(J8:J15)</f>
        <v/>
      </c>
      <c r="K16" s="1">
        <f>SUM(K8:K15)</f>
        <v/>
      </c>
    </row>
    <row r="17">
      <c r="A17" s="1" t="inlineStr">
        <is>
          <t>II</t>
        </is>
      </c>
      <c r="B17" s="1" t="inlineStr"/>
      <c r="C17" s="2" t="inlineStr">
        <is>
          <t>PHẦN THÂN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inlineStr">
        <is>
          <t>9</t>
        </is>
      </c>
      <c r="B18" s="1" t="inlineStr">
        <is>
          <t>AF.12313</t>
        </is>
      </c>
      <c r="C18" s="1" t="inlineStr">
        <is>
          <t>Bê tông cột tiết diện &gt;0,1m2 mác 400</t>
        </is>
      </c>
      <c r="D18" s="1" t="inlineStr">
        <is>
          <t>m3</t>
        </is>
      </c>
      <c r="E18" s="1" t="n">
        <v>160</v>
      </c>
      <c r="F18" s="1" t="n">
        <v>60</v>
      </c>
      <c r="G18" s="1" t="n">
        <v>50</v>
      </c>
      <c r="H18" s="1">
        <f>F18+G18</f>
        <v/>
      </c>
      <c r="I18" s="1" t="n">
        <v>1850000</v>
      </c>
      <c r="J18" s="1">
        <f>G18*I18</f>
        <v/>
      </c>
      <c r="K18" s="1">
        <f>H18*I18</f>
        <v/>
      </c>
    </row>
    <row r="19">
      <c r="A19" s="1" t="inlineStr">
        <is>
          <t>10</t>
        </is>
      </c>
      <c r="B19" s="1" t="inlineStr">
        <is>
          <t>AF.12513</t>
        </is>
      </c>
      <c r="C19" s="1" t="inlineStr">
        <is>
          <t>Bê tông xà dầm, giằng nhà mác 300</t>
        </is>
      </c>
      <c r="D19" s="1" t="inlineStr">
        <is>
          <t>m3</t>
        </is>
      </c>
      <c r="E19" s="1" t="n">
        <v>210</v>
      </c>
      <c r="F19" s="1" t="n">
        <v>70</v>
      </c>
      <c r="G19" s="1" t="n">
        <v>60</v>
      </c>
      <c r="H19" s="1">
        <f>F19+G19</f>
        <v/>
      </c>
      <c r="I19" s="1" t="n">
        <v>1720000</v>
      </c>
      <c r="J19" s="1">
        <f>G19*I19</f>
        <v/>
      </c>
      <c r="K19" s="1">
        <f>H19*I19</f>
        <v/>
      </c>
    </row>
    <row r="20">
      <c r="A20" s="1" t="inlineStr">
        <is>
          <t>11</t>
        </is>
      </c>
      <c r="B20" s="1" t="inlineStr">
        <is>
          <t>AF.12613</t>
        </is>
      </c>
      <c r="C20" s="1" t="inlineStr">
        <is>
          <t>Bê tông sàn mái mác 300</t>
        </is>
      </c>
      <c r="D20" s="1" t="inlineStr">
        <is>
          <t>m3</t>
        </is>
      </c>
      <c r="E20" s="1" t="n">
        <v>420</v>
      </c>
      <c r="F20" s="1" t="n">
        <v>150</v>
      </c>
      <c r="G20" s="1" t="n">
        <v>140</v>
      </c>
      <c r="H20" s="1">
        <f>F20+G20</f>
        <v/>
      </c>
      <c r="I20" s="1" t="n">
        <v>1690000</v>
      </c>
      <c r="J20" s="1">
        <f>G20*I20</f>
        <v/>
      </c>
      <c r="K20" s="1">
        <f>H20*I20</f>
        <v/>
      </c>
    </row>
    <row r="21">
      <c r="A21" s="1" t="inlineStr">
        <is>
          <t>12</t>
        </is>
      </c>
      <c r="B21" s="1" t="inlineStr">
        <is>
          <t>AF.61531</t>
        </is>
      </c>
      <c r="C21" s="1" t="inlineStr">
        <is>
          <t>Cốt thép cột, trụ đường kính &gt;18mm</t>
        </is>
      </c>
      <c r="D21" s="1" t="inlineStr">
        <is>
          <t>tấn</t>
        </is>
      </c>
      <c r="E21" s="1" t="n">
        <v>38</v>
      </c>
      <c r="F21" s="1" t="n">
        <v>14</v>
      </c>
      <c r="G21" s="1" t="n">
        <v>12</v>
      </c>
      <c r="H21" s="1">
        <f>F21+G21</f>
        <v/>
      </c>
      <c r="I21" s="1" t="n">
        <v>21800000</v>
      </c>
      <c r="J21" s="1">
        <f>G21*I21</f>
        <v/>
      </c>
      <c r="K21" s="1">
        <f>H21*I21</f>
        <v/>
      </c>
    </row>
    <row r="22">
      <c r="A22" s="1" t="inlineStr">
        <is>
          <t>13</t>
        </is>
      </c>
      <c r="B22" s="1" t="inlineStr">
        <is>
          <t>AF.61631</t>
        </is>
      </c>
      <c r="C22" s="1" t="inlineStr">
        <is>
          <t>Cốt thép xà dầm, giằng đường kính &gt;18mm</t>
        </is>
      </c>
      <c r="D22" s="1" t="inlineStr">
        <is>
          <t>tấn</t>
        </is>
      </c>
      <c r="E22" s="1" t="n">
        <v>42</v>
      </c>
      <c r="F22" s="1" t="n">
        <v>15</v>
      </c>
      <c r="G22" s="1" t="n">
        <v>13</v>
      </c>
      <c r="H22" s="1">
        <f>F22+G22</f>
        <v/>
      </c>
      <c r="I22" s="1" t="n">
        <v>21800000</v>
      </c>
      <c r="J22" s="1">
        <f>G22*I22</f>
        <v/>
      </c>
      <c r="K22" s="1">
        <f>H22*I22</f>
        <v/>
      </c>
    </row>
    <row r="23">
      <c r="A23" s="1" t="inlineStr">
        <is>
          <t>14</t>
        </is>
      </c>
      <c r="B23" s="1" t="inlineStr">
        <is>
          <t>AF.61711</t>
        </is>
      </c>
      <c r="C23" s="1" t="inlineStr">
        <is>
          <t>Cốt thép sàn mái đường kính ≤10mm</t>
        </is>
      </c>
      <c r="D23" s="1" t="inlineStr">
        <is>
          <t>tấn</t>
        </is>
      </c>
      <c r="E23" s="1" t="n">
        <v>40</v>
      </c>
      <c r="F23" s="1" t="n">
        <v>20</v>
      </c>
      <c r="G23" s="1" t="n">
        <v>25</v>
      </c>
      <c r="H23" s="1">
        <f>F23+G23</f>
        <v/>
      </c>
      <c r="I23" s="1" t="n">
        <v>22100000</v>
      </c>
      <c r="J23" s="1">
        <f>G23*I23</f>
        <v/>
      </c>
      <c r="K23" s="1">
        <f>H23*I23</f>
        <v/>
      </c>
    </row>
    <row r="24">
      <c r="A24" s="1" t="inlineStr">
        <is>
          <t>15</t>
        </is>
      </c>
      <c r="B24" s="1" t="inlineStr">
        <is>
          <t>AF.86311</t>
        </is>
      </c>
      <c r="C24" s="1" t="inlineStr">
        <is>
          <t>Ván khuôn sàn mái</t>
        </is>
      </c>
      <c r="D24" s="1" t="inlineStr">
        <is>
          <t>100m2</t>
        </is>
      </c>
      <c r="E24" s="1" t="n">
        <v>35</v>
      </c>
      <c r="F24" s="1" t="n">
        <v>12</v>
      </c>
      <c r="G24" s="1" t="n">
        <v>15</v>
      </c>
      <c r="H24" s="1">
        <f>F24+G24</f>
        <v/>
      </c>
      <c r="I24" s="1" t="n">
        <v>9800000</v>
      </c>
      <c r="J24" s="1">
        <f>G24*I24</f>
        <v/>
      </c>
      <c r="K24" s="1">
        <f>H24*I24</f>
        <v/>
      </c>
    </row>
    <row r="25">
      <c r="A25" s="1" t="inlineStr">
        <is>
          <t>16</t>
        </is>
      </c>
      <c r="B25" s="1" t="inlineStr">
        <is>
          <t>AF.82111</t>
        </is>
      </c>
      <c r="C25" s="1" t="inlineStr">
        <is>
          <t>Ván khuôn cột vuông, chữ nhật</t>
        </is>
      </c>
      <c r="D25" s="1" t="inlineStr">
        <is>
          <t>100m2</t>
        </is>
      </c>
      <c r="E25" s="1" t="n">
        <v>18</v>
      </c>
      <c r="F25" s="1" t="n">
        <v>7</v>
      </c>
      <c r="G25" s="1" t="n">
        <v>6</v>
      </c>
      <c r="H25" s="1">
        <f>F25+G25</f>
        <v/>
      </c>
      <c r="I25" s="1" t="n">
        <v>11200000</v>
      </c>
      <c r="J25" s="1">
        <f>G25*I25</f>
        <v/>
      </c>
      <c r="K25" s="1">
        <f>H25*I25</f>
        <v/>
      </c>
    </row>
    <row r="26">
      <c r="A26" s="1" t="inlineStr">
        <is>
          <t>17</t>
        </is>
      </c>
      <c r="B26" s="1" t="inlineStr">
        <is>
          <t>AF.12613</t>
        </is>
      </c>
      <c r="C26" s="1" t="inlineStr">
        <is>
          <t>Bê tông sàn mái mác 300</t>
        </is>
      </c>
      <c r="D26" s="1" t="inlineStr">
        <is>
          <t>m3</t>
        </is>
      </c>
      <c r="E26" s="1" t="n">
        <v>420</v>
      </c>
      <c r="F26" s="1" t="n">
        <v>0</v>
      </c>
      <c r="G26" s="1" t="n">
        <v>140</v>
      </c>
      <c r="H26" s="1">
        <f>F26+G26</f>
        <v/>
      </c>
      <c r="I26" s="1" t="n">
        <v>1690000</v>
      </c>
      <c r="J26" s="1">
        <f>G26*I26</f>
        <v/>
      </c>
      <c r="K26" s="1">
        <f>H26*I26</f>
        <v/>
      </c>
    </row>
    <row r="27">
      <c r="A27" s="1" t="inlineStr">
        <is>
          <t>18</t>
        </is>
      </c>
      <c r="B27" s="1" t="inlineStr">
        <is>
          <t>AF.12413</t>
        </is>
      </c>
      <c r="C27" s="1" t="inlineStr">
        <is>
          <t>Bê tông lanh tô, ô văng phát sinh</t>
        </is>
      </c>
      <c r="D27" s="1" t="inlineStr">
        <is>
          <t>m2</t>
        </is>
      </c>
      <c r="E27" s="1" t="n">
        <v>0</v>
      </c>
      <c r="F27" s="1" t="n">
        <v>0</v>
      </c>
      <c r="G27" s="1" t="n">
        <v>12</v>
      </c>
      <c r="H27" s="1">
        <f>F27+G27</f>
        <v/>
      </c>
      <c r="I27" s="1" t="n">
        <v>1700000</v>
      </c>
      <c r="J27" s="1">
        <f>G27*I27</f>
        <v/>
      </c>
      <c r="K27" s="1">
        <f>H27*I27</f>
        <v/>
      </c>
    </row>
    <row r="28" hidden="1">
      <c r="A28" s="1" t="inlineStr">
        <is>
          <t>19</t>
        </is>
      </c>
      <c r="B28" s="1" t="inlineStr">
        <is>
          <t>AF.99999</t>
        </is>
      </c>
      <c r="C28" s="1" t="inlineStr">
        <is>
          <t>Thép biện pháp chống đỡ sàn</t>
        </is>
      </c>
      <c r="D28" s="1" t="inlineStr">
        <is>
          <t>tấn</t>
        </is>
      </c>
      <c r="E28" s="1" t="n">
        <v>0</v>
      </c>
      <c r="F28" s="1" t="n">
        <v>0</v>
      </c>
      <c r="G28" s="1" t="n">
        <v>3.5</v>
      </c>
      <c r="H28" s="1">
        <f>F28+G28</f>
        <v/>
      </c>
      <c r="I28" s="1" t="n">
        <v>18000000</v>
      </c>
      <c r="J28" s="1">
        <f>G28*I28</f>
        <v/>
      </c>
      <c r="K28" s="1">
        <f>H28*I28</f>
        <v/>
      </c>
    </row>
    <row r="29">
      <c r="A29" s="1" t="n"/>
      <c r="B29" s="1" t="n"/>
      <c r="C29" s="1" t="inlineStr">
        <is>
          <t>Cộng phần thân</t>
        </is>
      </c>
      <c r="D29" s="1" t="n"/>
      <c r="E29" s="1" t="n"/>
      <c r="F29" s="1" t="n"/>
      <c r="G29" s="1" t="n"/>
      <c r="H29" s="1" t="n"/>
      <c r="I29" s="1" t="n"/>
      <c r="J29" s="1">
        <f>SUM(J18:J26)</f>
        <v/>
      </c>
      <c r="K29" s="1">
        <f>SUM(K18:K28)</f>
        <v/>
      </c>
    </row>
    <row r="30">
      <c r="A30" s="1" t="inlineStr">
        <is>
          <t>III</t>
        </is>
      </c>
      <c r="B30" s="1" t="inlineStr"/>
      <c r="C30" s="2" t="inlineStr">
        <is>
          <t>PHẦN HOÀN THIỆN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20</t>
        </is>
      </c>
      <c r="B31" s="1" t="inlineStr">
        <is>
          <t>AE.22224</t>
        </is>
      </c>
      <c r="C31" s="1" t="inlineStr">
        <is>
          <t>Xây tường gạch 220 vữa M75</t>
        </is>
      </c>
      <c r="D31" s="1" t="inlineStr">
        <is>
          <t>m3</t>
        </is>
      </c>
      <c r="E31" s="1" t="n">
        <v>520</v>
      </c>
      <c r="F31" s="1" t="n">
        <v>200</v>
      </c>
      <c r="G31" s="1" t="n">
        <v>200</v>
      </c>
      <c r="H31" s="1">
        <f>F31+G31</f>
        <v/>
      </c>
      <c r="I31" s="1" t="n">
        <v>1450000</v>
      </c>
      <c r="J31" s="1">
        <f>G31*I31</f>
        <v/>
      </c>
      <c r="K31" s="1">
        <f>H31*I31</f>
        <v/>
      </c>
    </row>
    <row r="32">
      <c r="A32" s="1" t="inlineStr">
        <is>
          <t>21</t>
        </is>
      </c>
      <c r="B32" s="1" t="inlineStr">
        <is>
          <t>AK.21224</t>
        </is>
      </c>
      <c r="C32" s="1" t="inlineStr">
        <is>
          <t>Trát tường trong dày 1,5cm vữa M75</t>
        </is>
      </c>
      <c r="D32" s="1" t="inlineStr">
        <is>
          <t>m2</t>
        </is>
      </c>
      <c r="E32" s="1" t="n">
        <v>4200</v>
      </c>
      <c r="F32" s="1" t="n">
        <v>1000</v>
      </c>
      <c r="G32" s="1" t="n">
        <v>1500</v>
      </c>
      <c r="H32" s="1" t="n">
        <v>2600</v>
      </c>
      <c r="I32" s="1" t="n">
        <v>95000</v>
      </c>
      <c r="J32" s="1">
        <f>G32*I32</f>
        <v/>
      </c>
      <c r="K32" s="1">
        <f>H32*I32</f>
        <v/>
      </c>
    </row>
    <row r="33">
      <c r="A33" s="1" t="inlineStr">
        <is>
          <t>22</t>
        </is>
      </c>
      <c r="B33" s="1" t="inlineStr">
        <is>
          <t>AK.84114</t>
        </is>
      </c>
      <c r="C33" s="1" t="inlineStr">
        <is>
          <t>Sơn tường trong nhà 1 nước lót 2 nước phủ</t>
        </is>
      </c>
      <c r="D33" s="1" t="inlineStr">
        <is>
          <t>m2</t>
        </is>
      </c>
      <c r="E33" s="1" t="n">
        <v>5200</v>
      </c>
      <c r="F33" s="1" t="n">
        <v>900</v>
      </c>
      <c r="G33" s="1" t="n">
        <v>3500</v>
      </c>
      <c r="H33" s="1">
        <f>F33+G33</f>
        <v/>
      </c>
      <c r="I33" s="1" t="n">
        <v>75000</v>
      </c>
      <c r="J33" s="1">
        <f>G33*I33</f>
        <v/>
      </c>
      <c r="K33" s="1">
        <f>H33*I33</f>
        <v/>
      </c>
    </row>
    <row r="34">
      <c r="A34" s="1" t="inlineStr">
        <is>
          <t>23</t>
        </is>
      </c>
      <c r="B34" s="1" t="inlineStr">
        <is>
          <t>AK.51250</t>
        </is>
      </c>
      <c r="C34" s="1" t="inlineStr">
        <is>
          <t>Lát nền gạch Granite 600x600</t>
        </is>
      </c>
      <c r="D34" s="1" t="inlineStr">
        <is>
          <t>m2</t>
        </is>
      </c>
      <c r="E34" s="1" t="n">
        <v>1800</v>
      </c>
      <c r="F34" s="1" t="n">
        <v>0</v>
      </c>
      <c r="G34" s="1" t="n">
        <v>1000</v>
      </c>
      <c r="H34" s="1">
        <f>F34+G34</f>
        <v/>
      </c>
      <c r="I34" s="1" t="n">
        <v>420000</v>
      </c>
      <c r="J34" s="1">
        <f>G34*I34</f>
        <v/>
      </c>
      <c r="K34" s="1">
        <f>H34*I34</f>
        <v/>
      </c>
    </row>
    <row r="35">
      <c r="A35" s="1" t="inlineStr">
        <is>
          <t>24</t>
        </is>
      </c>
      <c r="B35" s="1" t="inlineStr">
        <is>
          <t>AH.12100</t>
        </is>
      </c>
      <c r="C35" s="1" t="inlineStr">
        <is>
          <t>Lắp dựng cửa nhôm kính</t>
        </is>
      </c>
      <c r="D35" s="1" t="inlineStr">
        <is>
          <t>m</t>
        </is>
      </c>
      <c r="E35" s="1" t="n">
        <v>260</v>
      </c>
      <c r="F35" s="1" t="n">
        <v>0</v>
      </c>
      <c r="G35" s="1" t="n">
        <v>100</v>
      </c>
      <c r="H35" s="1">
        <f>F35+G35</f>
        <v/>
      </c>
      <c r="I35" s="1" t="n">
        <v>2500000</v>
      </c>
      <c r="J35" s="1">
        <f>G35*I35</f>
        <v/>
      </c>
      <c r="K35" s="1">
        <f>H35*I35</f>
        <v/>
      </c>
    </row>
    <row r="36">
      <c r="A36" s="1" t="inlineStr">
        <is>
          <t>25</t>
        </is>
      </c>
      <c r="B36" s="1" t="inlineStr">
        <is>
          <t>AB.99999</t>
        </is>
      </c>
      <c r="C36" s="1" t="inlineStr">
        <is>
          <t>Tháo dỡ tường cũ hiện trạng</t>
        </is>
      </c>
      <c r="D36" s="1" t="inlineStr">
        <is>
          <t>m3</t>
        </is>
      </c>
      <c r="E36" s="1" t="n">
        <v>0</v>
      </c>
      <c r="F36" s="1" t="n">
        <v>0</v>
      </c>
      <c r="G36" s="1" t="n">
        <v>-5</v>
      </c>
      <c r="H36" s="1">
        <f>F36+G36</f>
        <v/>
      </c>
      <c r="I36" s="1" t="n">
        <v>450000</v>
      </c>
      <c r="J36" s="1">
        <f>G36*I36</f>
        <v/>
      </c>
      <c r="K36" s="1">
        <f>H36*I36</f>
        <v/>
      </c>
    </row>
    <row r="37">
      <c r="A37" s="1" t="n"/>
      <c r="B37" s="1" t="n"/>
      <c r="C37" s="1" t="inlineStr">
        <is>
          <t>Cộng phần hoàn thiện</t>
        </is>
      </c>
      <c r="D37" s="1" t="n"/>
      <c r="E37" s="1" t="n"/>
      <c r="F37" s="1" t="n"/>
      <c r="G37" s="1" t="n"/>
      <c r="H37" s="1" t="n"/>
      <c r="I37" s="1" t="n"/>
      <c r="J37" s="1">
        <f>SUM(J31:J36)</f>
        <v/>
      </c>
      <c r="K37" s="1">
        <f>SUM(K31:K36)</f>
        <v/>
      </c>
    </row>
    <row r="38">
      <c r="A38" s="1" t="n"/>
      <c r="B38" s="1" t="n"/>
      <c r="C38" s="1" t="inlineStr">
        <is>
          <t>TỔNG CỘNG</t>
        </is>
      </c>
      <c r="D38" s="1" t="n"/>
      <c r="E38" s="1" t="n"/>
      <c r="F38" s="1" t="n"/>
      <c r="G38" s="1" t="n"/>
      <c r="H38" s="1" t="n"/>
      <c r="I38" s="1" t="n"/>
      <c r="J38" s="1">
        <f>J16+J29+J37</f>
        <v/>
      </c>
      <c r="K38" s="1">
        <f>K16+K29+K37</f>
        <v/>
      </c>
    </row>
  </sheetData>
  <mergeCells count="7">
    <mergeCell ref="J4:K4"/>
    <mergeCell ref="B4:B5"/>
    <mergeCell ref="C4:C5"/>
    <mergeCell ref="A4:A5"/>
    <mergeCell ref="D4:D5"/>
    <mergeCell ref="E4:H4"/>
    <mergeCell ref="I4:I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DIỄN GIẢI KHỐI LƯỢNG KỲ NÀY</t>
        </is>
      </c>
    </row>
    <row r="2">
      <c r="A2" t="inlineStr">
        <is>
          <t>STT</t>
        </is>
      </c>
      <c r="B2" t="inlineStr">
        <is>
          <t>Mã hiệu</t>
        </is>
      </c>
      <c r="C2" t="inlineStr">
        <is>
          <t>Tên công việc / Diễn giải</t>
        </is>
      </c>
      <c r="D2" t="inlineStr">
        <is>
          <t>Đơn vị</t>
        </is>
      </c>
      <c r="E2" t="inlineStr">
        <is>
          <t>Số CK</t>
        </is>
      </c>
      <c r="F2" t="inlineStr">
        <is>
          <t>Dài</t>
        </is>
      </c>
      <c r="G2" t="inlineStr">
        <is>
          <t>Rộng</t>
        </is>
      </c>
      <c r="H2" t="inlineStr">
        <is>
          <t>Cao</t>
        </is>
      </c>
      <c r="I2" t="inlineStr">
        <is>
          <t>Khối lượng</t>
        </is>
      </c>
    </row>
    <row r="3">
      <c r="A3" t="n">
        <v>1</v>
      </c>
      <c r="B3" t="inlineStr">
        <is>
          <t>AB.25112</t>
        </is>
      </c>
      <c r="C3" t="inlineStr">
        <is>
          <t>Đào đất móng bằng máy, đất cấp II</t>
        </is>
      </c>
      <c r="D3" t="inlineStr">
        <is>
          <t>m3</t>
        </is>
      </c>
      <c r="I3" t="n">
        <v>450</v>
      </c>
    </row>
    <row r="4">
      <c r="C4" t="inlineStr">
        <is>
          <t>Hố móng M1 trục A-B</t>
        </is>
      </c>
      <c r="E4" t="n">
        <v>10</v>
      </c>
      <c r="F4" t="n">
        <v>5</v>
      </c>
      <c r="G4" t="n">
        <v>3</v>
      </c>
      <c r="H4" t="n">
        <v>1.5</v>
      </c>
      <c r="I4" t="n">
        <v>225</v>
      </c>
    </row>
    <row r="5">
      <c r="C5" t="inlineStr">
        <is>
          <t>Hố móng M2 trục C-D</t>
        </is>
      </c>
      <c r="E5" t="n">
        <v>10</v>
      </c>
      <c r="F5" t="n">
        <v>5</v>
      </c>
      <c r="G5" t="n">
        <v>3</v>
      </c>
      <c r="H5" t="n">
        <v>1.5</v>
      </c>
      <c r="I5" t="n">
        <v>225</v>
      </c>
    </row>
    <row r="6">
      <c r="A6" t="n">
        <v>2</v>
      </c>
      <c r="B6" t="inlineStr">
        <is>
          <t>AF.12313</t>
        </is>
      </c>
      <c r="C6" t="inlineStr">
        <is>
          <t>Bê tông cột tiết diện &gt;0,1m2 mác 400</t>
        </is>
      </c>
      <c r="D6" t="inlineStr">
        <is>
          <t>m3</t>
        </is>
      </c>
      <c r="I6" t="n">
        <v>46.2</v>
      </c>
    </row>
    <row r="7">
      <c r="A7" t="n">
        <v>3</v>
      </c>
      <c r="B7" t="inlineStr">
        <is>
          <t>AF.61711</t>
        </is>
      </c>
      <c r="C7" t="inlineStr">
        <is>
          <t>Cốt thép sàn mái đường kính ≤10mm</t>
        </is>
      </c>
      <c r="D7" t="inlineStr">
        <is>
          <t>tấn</t>
        </is>
      </c>
      <c r="I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2026-10-21T06:13:23Z</dcterms:created>
  <dcterms:modified xmlns:dcterms="http://purl.org/dc/terms/" xmlns:xsi="http://www.w3.org/2001/XMLSchema-instance" xsi:type="dcterms:W3CDTF">2026-10-21T06:13:23Z</dcterms:modified>
</cp:coreProperties>
</file>